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arul\Downloads\project3-incident-routing\"/>
    </mc:Choice>
  </mc:AlternateContent>
  <xr:revisionPtr revIDLastSave="0" documentId="13_ncr:1_{89BF956B-F076-4008-8A7D-067B9B2509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4" i="1" l="1"/>
  <c r="D24" i="1"/>
  <c r="C24" i="1"/>
  <c r="D20" i="1"/>
  <c r="E19" i="1"/>
  <c r="E17" i="1"/>
  <c r="E18" i="1" s="1"/>
  <c r="E21" i="1" s="1"/>
  <c r="E22" i="1" s="1"/>
  <c r="D17" i="1"/>
  <c r="D19" i="1" s="1"/>
  <c r="C17" i="1"/>
  <c r="C20" i="1" s="1"/>
  <c r="E20" i="1" l="1"/>
  <c r="E25" i="1"/>
  <c r="E23" i="1"/>
  <c r="C18" i="1"/>
  <c r="C21" i="1" s="1"/>
  <c r="C22" i="1" s="1"/>
  <c r="D18" i="1"/>
  <c r="D21" i="1" s="1"/>
  <c r="D22" i="1" s="1"/>
  <c r="C19" i="1"/>
  <c r="D25" i="1" l="1"/>
  <c r="D23" i="1"/>
  <c r="C25" i="1"/>
  <c r="C23" i="1"/>
</calcChain>
</file>

<file path=xl/sharedStrings.xml><?xml version="1.0" encoding="utf-8"?>
<sst xmlns="http://schemas.openxmlformats.org/spreadsheetml/2006/main" count="67" uniqueCount="55">
  <si>
    <t>Impact model: routing Category 23 straight to the group that usually resolves it</t>
  </si>
  <si>
    <t>Blue = an input you can change. Black = a formula. DATA inputs are measured from the incident log; ASSUMPTION inputs are judgement calls. No fix has been deployed, so outputs are estimates, not results.</t>
  </si>
  <si>
    <t>Unit</t>
  </si>
  <si>
    <t>Low</t>
  </si>
  <si>
    <t>Middle</t>
  </si>
  <si>
    <t>High</t>
  </si>
  <si>
    <t>Basis</t>
  </si>
  <si>
    <t>Category 23 incidents per month</t>
  </si>
  <si>
    <t>incidents</t>
  </si>
  <si>
    <t>[DATA] Average of Mar, Apr and May 2016 (350, 359, 356)</t>
  </si>
  <si>
    <t>First-time-right gain from the rule</t>
  </si>
  <si>
    <t>points</t>
  </si>
  <si>
    <t>[DATA] Low: whole Mar-May period. High: held-out latest data. Middle: midpoint</t>
  </si>
  <si>
    <t>Hand-offs avoided per incident routed right</t>
  </si>
  <si>
    <t>count</t>
  </si>
  <si>
    <t>[DATA / ASSUMPTION] High = observed average (1.9) among bounced incidents; Low and Middle are conservative</t>
  </si>
  <si>
    <t>Extra hours a bounced incident takes, like-for-like</t>
  </si>
  <si>
    <t>hours</t>
  </si>
  <si>
    <t>[DATA] Median gap within the same resolving group (association, not proof of cause)</t>
  </si>
  <si>
    <t>Share of that gap assumed caused by the hand-off</t>
  </si>
  <si>
    <t>%</t>
  </si>
  <si>
    <t>[ASSUMPTION] Harder tickets get passed around, so only part of the gap is caused by the hand-off</t>
  </si>
  <si>
    <t>SLA attainment gap, like-for-like</t>
  </si>
  <si>
    <t>[DATA] SLA met: no hand-off vs changed hands, within the same resolving group</t>
  </si>
  <si>
    <t>Analyst minutes per hand-off</t>
  </si>
  <si>
    <t>minutes</t>
  </si>
  <si>
    <t>[ASSUMPTION] Time to read, triage and pass a ticket on. Not in the data; replace with your own</t>
  </si>
  <si>
    <t>Loaded cost per analyst hour</t>
  </si>
  <si>
    <t>$</t>
  </si>
  <si>
    <t>[ASSUMPTION] Placeholder. Replace with the finance figure</t>
  </si>
  <si>
    <t>One-off effort to change the rule</t>
  </si>
  <si>
    <t>[ASSUMPTION] A configuration change in the assignment rules</t>
  </si>
  <si>
    <t>Outputs (formulas)</t>
  </si>
  <si>
    <t>How it is calculated</t>
  </si>
  <si>
    <t>Incidents routed right that were not before</t>
  </si>
  <si>
    <t>per month</t>
  </si>
  <si>
    <t>incidents x gain</t>
  </si>
  <si>
    <t>Hand-offs avoided</t>
  </si>
  <si>
    <t>incidents routed right x hand-offs avoided</t>
  </si>
  <si>
    <t>Elapsed resolution hours saved</t>
  </si>
  <si>
    <t>incidents routed right x extra hours x share caused by the hand-off</t>
  </si>
  <si>
    <t>Incidents newly meeting SLA</t>
  </si>
  <si>
    <t>incidents routed right x SLA gap x share caused by the hand-off</t>
  </si>
  <si>
    <t>Analyst hours saved</t>
  </si>
  <si>
    <t>hand-offs avoided x minutes / 60</t>
  </si>
  <si>
    <t>Analyst cost saved</t>
  </si>
  <si>
    <t>$ per month</t>
  </si>
  <si>
    <t>analyst hours x cost per hour</t>
  </si>
  <si>
    <t>$ per year</t>
  </si>
  <si>
    <t>assumes volume stays at the observed level</t>
  </si>
  <si>
    <t>One-off cost of the change</t>
  </si>
  <si>
    <t>effort hours x cost per hour</t>
  </si>
  <si>
    <t>Payback</t>
  </si>
  <si>
    <t>days</t>
  </si>
  <si>
    <t>one-off cost / monthly saving x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</si>
</sst>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\$#,##0"/>
  </numFmts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sz val="11"/>
      <color rgb="FF0000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3EFE9"/>
      </patternFill>
    </fill>
    <fill>
      <patternFill patternType="solid">
        <fgColor rgb="FFF4E6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/>
    <xf numFmtId="3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9" fontId="3" fillId="3" borderId="0" xfId="0" applyNumberFormat="1" applyFont="1" applyFill="1"/>
    <xf numFmtId="1" fontId="3" fillId="3" borderId="0" xfId="0" applyNumberFormat="1" applyFont="1" applyFill="1"/>
    <xf numFmtId="166" fontId="3" fillId="3" borderId="0" xfId="0" applyNumberFormat="1" applyFont="1" applyFill="1"/>
    <xf numFmtId="3" fontId="0" fillId="0" borderId="0" xfId="0" applyNumberFormat="1"/>
    <xf numFmtId="166" fontId="0" fillId="0" borderId="0" xfId="0" applyNumberFormat="1"/>
    <xf numFmtId="165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0" customWidth="1"/>
    <col min="2" max="2" width="12" customWidth="1"/>
    <col min="3" max="5" width="13" customWidth="1"/>
    <col min="6" max="6" width="92" customWidth="1"/>
  </cols>
  <sheetData>
    <row r="1" spans="1:6" ht="17.399999999999999" x14ac:dyDescent="0.35">
      <c r="A1" s="1" t="s">
        <v>0</v>
      </c>
    </row>
    <row r="2" spans="1:6" ht="43.95" customHeight="1" x14ac:dyDescent="0.3">
      <c r="A2" s="12" t="s">
        <v>1</v>
      </c>
      <c r="B2" s="13"/>
      <c r="C2" s="13"/>
      <c r="D2" s="13"/>
      <c r="E2" s="13"/>
      <c r="F2" s="13"/>
    </row>
    <row r="4" spans="1:6" x14ac:dyDescent="0.3">
      <c r="A4" s="2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spans="1:6" x14ac:dyDescent="0.3">
      <c r="A5" t="s">
        <v>7</v>
      </c>
      <c r="B5" t="s">
        <v>8</v>
      </c>
      <c r="C5" s="3">
        <v>355</v>
      </c>
      <c r="D5" s="3">
        <v>355</v>
      </c>
      <c r="E5" s="3">
        <v>355</v>
      </c>
      <c r="F5" t="s">
        <v>9</v>
      </c>
    </row>
    <row r="6" spans="1:6" x14ac:dyDescent="0.3">
      <c r="A6" t="s">
        <v>10</v>
      </c>
      <c r="B6" t="s">
        <v>11</v>
      </c>
      <c r="C6" s="4">
        <v>0.1953051643192488</v>
      </c>
      <c r="D6" s="4">
        <v>0.27644046094750319</v>
      </c>
      <c r="E6" s="4">
        <v>0.3575757575757576</v>
      </c>
      <c r="F6" t="s">
        <v>12</v>
      </c>
    </row>
    <row r="7" spans="1:6" x14ac:dyDescent="0.3">
      <c r="A7" t="s">
        <v>13</v>
      </c>
      <c r="B7" t="s">
        <v>14</v>
      </c>
      <c r="C7" s="5">
        <v>1</v>
      </c>
      <c r="D7" s="5">
        <v>1.5</v>
      </c>
      <c r="E7" s="5">
        <v>1.9</v>
      </c>
      <c r="F7" t="s">
        <v>15</v>
      </c>
    </row>
    <row r="8" spans="1:6" x14ac:dyDescent="0.3">
      <c r="A8" t="s">
        <v>16</v>
      </c>
      <c r="B8" t="s">
        <v>17</v>
      </c>
      <c r="C8" s="5">
        <v>62.521046695240251</v>
      </c>
      <c r="D8" s="5">
        <v>62.521046695240251</v>
      </c>
      <c r="E8" s="5">
        <v>62.521046695240251</v>
      </c>
      <c r="F8" t="s">
        <v>18</v>
      </c>
    </row>
    <row r="9" spans="1:6" x14ac:dyDescent="0.3">
      <c r="A9" t="s">
        <v>19</v>
      </c>
      <c r="B9" t="s">
        <v>20</v>
      </c>
      <c r="C9" s="6">
        <v>0.25</v>
      </c>
      <c r="D9" s="6">
        <v>0.5</v>
      </c>
      <c r="E9" s="6">
        <v>1</v>
      </c>
      <c r="F9" t="s">
        <v>21</v>
      </c>
    </row>
    <row r="10" spans="1:6" x14ac:dyDescent="0.3">
      <c r="A10" t="s">
        <v>22</v>
      </c>
      <c r="B10" t="s">
        <v>11</v>
      </c>
      <c r="C10" s="4">
        <v>0.17331948026384739</v>
      </c>
      <c r="D10" s="4">
        <v>0.17331948026384739</v>
      </c>
      <c r="E10" s="4">
        <v>0.17331948026384739</v>
      </c>
      <c r="F10" t="s">
        <v>23</v>
      </c>
    </row>
    <row r="11" spans="1:6" x14ac:dyDescent="0.3">
      <c r="A11" t="s">
        <v>24</v>
      </c>
      <c r="B11" t="s">
        <v>25</v>
      </c>
      <c r="C11" s="7">
        <v>10</v>
      </c>
      <c r="D11" s="7">
        <v>15</v>
      </c>
      <c r="E11" s="7">
        <v>20</v>
      </c>
      <c r="F11" t="s">
        <v>26</v>
      </c>
    </row>
    <row r="12" spans="1:6" x14ac:dyDescent="0.3">
      <c r="A12" t="s">
        <v>27</v>
      </c>
      <c r="B12" t="s">
        <v>28</v>
      </c>
      <c r="C12" s="8">
        <v>35</v>
      </c>
      <c r="D12" s="8">
        <v>45</v>
      </c>
      <c r="E12" s="8">
        <v>55</v>
      </c>
      <c r="F12" t="s">
        <v>29</v>
      </c>
    </row>
    <row r="13" spans="1:6" x14ac:dyDescent="0.3">
      <c r="A13" t="s">
        <v>30</v>
      </c>
      <c r="B13" t="s">
        <v>17</v>
      </c>
      <c r="C13" s="7">
        <v>8</v>
      </c>
      <c r="D13" s="7">
        <v>8</v>
      </c>
      <c r="E13" s="7">
        <v>8</v>
      </c>
      <c r="F13" t="s">
        <v>31</v>
      </c>
    </row>
    <row r="16" spans="1:6" x14ac:dyDescent="0.3">
      <c r="A16" s="2" t="s">
        <v>32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33</v>
      </c>
    </row>
    <row r="17" spans="1:6" x14ac:dyDescent="0.3">
      <c r="A17" t="s">
        <v>34</v>
      </c>
      <c r="B17" t="s">
        <v>35</v>
      </c>
      <c r="C17" s="9">
        <f>C5*C6</f>
        <v>69.333333333333329</v>
      </c>
      <c r="D17" s="9">
        <f>D5*D6</f>
        <v>98.136363636363626</v>
      </c>
      <c r="E17" s="9">
        <f>E5*E6</f>
        <v>126.93939393939395</v>
      </c>
      <c r="F17" t="s">
        <v>36</v>
      </c>
    </row>
    <row r="18" spans="1:6" x14ac:dyDescent="0.3">
      <c r="A18" t="s">
        <v>37</v>
      </c>
      <c r="B18" t="s">
        <v>35</v>
      </c>
      <c r="C18" s="9">
        <f>C17*C7</f>
        <v>69.333333333333329</v>
      </c>
      <c r="D18" s="9">
        <f>D17*D7</f>
        <v>147.20454545454544</v>
      </c>
      <c r="E18" s="9">
        <f>E17*E7</f>
        <v>241.18484848484849</v>
      </c>
      <c r="F18" t="s">
        <v>38</v>
      </c>
    </row>
    <row r="19" spans="1:6" x14ac:dyDescent="0.3">
      <c r="A19" t="s">
        <v>39</v>
      </c>
      <c r="B19" t="s">
        <v>35</v>
      </c>
      <c r="C19" s="9">
        <f>C17*C8*C9</f>
        <v>1083.6981427174976</v>
      </c>
      <c r="D19" s="9">
        <f>D17*D8*D9</f>
        <v>3067.7940867050838</v>
      </c>
      <c r="E19" s="9">
        <f>E17*E8*E9</f>
        <v>7936.3837759503467</v>
      </c>
      <c r="F19" t="s">
        <v>40</v>
      </c>
    </row>
    <row r="20" spans="1:6" x14ac:dyDescent="0.3">
      <c r="A20" t="s">
        <v>41</v>
      </c>
      <c r="B20" t="s">
        <v>35</v>
      </c>
      <c r="C20" s="9">
        <f>C17*C10*C9</f>
        <v>3.0042043245733545</v>
      </c>
      <c r="D20" s="9">
        <f>D17*D10*D9</f>
        <v>8.5044717702192383</v>
      </c>
      <c r="E20" s="9">
        <f>E17*E10*E9</f>
        <v>22.001069782583539</v>
      </c>
      <c r="F20" t="s">
        <v>42</v>
      </c>
    </row>
    <row r="21" spans="1:6" x14ac:dyDescent="0.3">
      <c r="A21" t="s">
        <v>43</v>
      </c>
      <c r="B21" t="s">
        <v>35</v>
      </c>
      <c r="C21" s="9">
        <f>C18*C11/60</f>
        <v>11.555555555555554</v>
      </c>
      <c r="D21" s="9">
        <f>D18*D11/60</f>
        <v>36.80113636363636</v>
      </c>
      <c r="E21" s="9">
        <f>E18*E11/60</f>
        <v>80.3949494949495</v>
      </c>
      <c r="F21" t="s">
        <v>44</v>
      </c>
    </row>
    <row r="22" spans="1:6" x14ac:dyDescent="0.3">
      <c r="A22" t="s">
        <v>45</v>
      </c>
      <c r="B22" t="s">
        <v>46</v>
      </c>
      <c r="C22" s="10">
        <f>C21*C12</f>
        <v>404.4444444444444</v>
      </c>
      <c r="D22" s="10">
        <f>D21*D12</f>
        <v>1656.0511363636363</v>
      </c>
      <c r="E22" s="10">
        <f>E21*E12</f>
        <v>4421.7222222222226</v>
      </c>
      <c r="F22" t="s">
        <v>47</v>
      </c>
    </row>
    <row r="23" spans="1:6" x14ac:dyDescent="0.3">
      <c r="A23" t="s">
        <v>45</v>
      </c>
      <c r="B23" t="s">
        <v>48</v>
      </c>
      <c r="C23" s="10">
        <f>C22*12</f>
        <v>4853.333333333333</v>
      </c>
      <c r="D23" s="10">
        <f>D22*12</f>
        <v>19872.613636363636</v>
      </c>
      <c r="E23" s="10">
        <f>E22*12</f>
        <v>53060.666666666672</v>
      </c>
      <c r="F23" t="s">
        <v>49</v>
      </c>
    </row>
    <row r="24" spans="1:6" x14ac:dyDescent="0.3">
      <c r="A24" t="s">
        <v>50</v>
      </c>
      <c r="B24" t="s">
        <v>28</v>
      </c>
      <c r="C24" s="10">
        <f>C13*C12</f>
        <v>280</v>
      </c>
      <c r="D24" s="10">
        <f>D13*D12</f>
        <v>360</v>
      </c>
      <c r="E24" s="10">
        <f>E13*E12</f>
        <v>440</v>
      </c>
      <c r="F24" t="s">
        <v>51</v>
      </c>
    </row>
    <row r="25" spans="1:6" x14ac:dyDescent="0.3">
      <c r="A25" t="s">
        <v>52</v>
      </c>
      <c r="B25" t="s">
        <v>53</v>
      </c>
      <c r="C25" s="11">
        <f>IF(C22&gt;0,C24/C22*30,"n/a")</f>
        <v>20.769230769230774</v>
      </c>
      <c r="D25" s="11">
        <f>IF(D22&gt;0,D24/D22*30,"n/a")</f>
        <v>6.5215377489578517</v>
      </c>
      <c r="E25" s="11">
        <f>IF(E22&gt;0,E24/E22*30,"n/a")</f>
        <v>2.9852621527559644</v>
      </c>
      <c r="F25" t="s">
        <v>54</v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Parul Patil</cp:lastModifiedBy>
  <dcterms:created xsi:type="dcterms:W3CDTF">2026-09-24T15:41:30Z</dcterms:created>
  <dcterms:modified xsi:type="dcterms:W3CDTF">2026-09-24T15:41:57Z</dcterms:modified>
</cp:coreProperties>
</file>